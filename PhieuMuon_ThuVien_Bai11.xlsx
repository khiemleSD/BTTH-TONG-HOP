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bai_tap_thay_giao\"/>
    </mc:Choice>
  </mc:AlternateContent>
  <xr:revisionPtr revIDLastSave="0" documentId="8_{6082E75E-1838-436C-BE78-C97F38E5C10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hieuMuon" sheetId="1" r:id="rId1"/>
    <sheet name="DanhMucSach" sheetId="2" r:id="rId2"/>
  </sheets>
  <definedNames>
    <definedName name="_xlnm._FilterDatabase" localSheetId="0" hidden="1">PhieuMuon!$A$1:$F$5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H8" i="1" s="1"/>
  <c r="F5" i="1"/>
  <c r="F4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" authorId="0" shapeId="0" xr:uid="{00000000-0006-0000-0000-000001000000}">
      <text>
        <r>
          <rPr>
            <sz val="10"/>
            <rFont val="Arial"/>
            <family val="2"/>
          </rPr>
          <t>Không có IFERROR, công thức =VLOOKUP(C5,DanhMucSach!$A$2:$C$4,2,FALSE) trả về #N/A vì S099 không có trong DanhMucSach. IFERROR đổi lỗi đó thành dòng chữ này.</t>
        </r>
      </text>
    </comment>
  </commentList>
</comments>
</file>

<file path=xl/sharedStrings.xml><?xml version="1.0" encoding="utf-8"?>
<sst xmlns="http://schemas.openxmlformats.org/spreadsheetml/2006/main" count="37" uniqueCount="31">
  <si>
    <t>MSSV</t>
  </si>
  <si>
    <t>Họ Tên</t>
  </si>
  <si>
    <t>Mã Sách</t>
  </si>
  <si>
    <t>Ngày Mượn</t>
  </si>
  <si>
    <t>Tình Trạng</t>
  </si>
  <si>
    <t>Tên Sách</t>
  </si>
  <si>
    <t>Tổng số phiếu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</si>
  <si>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</si>
  <si>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</si>
  <si>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</si>
  <si>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</si>
  <si>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</si>
  <si>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</si>
  <si>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</si>
  <si>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</si>
  <si>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</si>
  <si>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</si>
  <si>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</si>
  <si>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</si>
  <si>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Phiếu quá hạn</t>
  </si>
  <si>
    <t>SV004</t>
  </si>
  <si>
    <t>Phạm Thu Hà</t>
  </si>
  <si>
    <t>S099</t>
  </si>
  <si>
    <t>Tỷ lệ quá hạn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</si>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</sst>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4D5C"/>
        <bgColor rgb="FF333333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D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pane ySplit="1" topLeftCell="A2" activePane="bottomLeft" state="frozen"/>
      <selection pane="bottomLeft" activeCell="F9" sqref="F9"/>
    </sheetView>
  </sheetViews>
  <sheetFormatPr defaultColWidth="8.6640625" defaultRowHeight="14.4" x14ac:dyDescent="0.3"/>
  <cols>
    <col min="1" max="1" width="10" customWidth="1"/>
    <col min="2" max="2" width="20" customWidth="1"/>
    <col min="3" max="3" width="10" customWidth="1"/>
    <col min="4" max="5" width="14" customWidth="1"/>
    <col min="6" max="6" width="26" customWidth="1"/>
    <col min="7" max="7" width="3" customWidth="1"/>
    <col min="8" max="8" width="16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 s="3" t="s">
        <v>7</v>
      </c>
      <c r="B2" s="3" t="s">
        <v>8</v>
      </c>
      <c r="C2" s="3" t="s">
        <v>9</v>
      </c>
      <c r="D2" s="4">
        <v>46296</v>
      </c>
      <c r="E2" s="3" t="s">
        <v>10</v>
      </c>
      <c r="F2" s="3" t="str">
        <f>IFERROR(VLOOKUP(C2,DanhMucSach!$A$2:$C$4,2,FALSE()),"Không tìm thấy sách")</f>
        <v>Lập Trình C Căn Bản</v>
      </c>
      <c r="H2" s="5">
        <f>COUNTA(A2:A5)</f>
        <v>4</v>
      </c>
    </row>
    <row r="3" spans="1:8" x14ac:dyDescent="0.3">
      <c r="A3" s="3" t="s">
        <v>11</v>
      </c>
      <c r="B3" s="3" t="s">
        <v>12</v>
      </c>
      <c r="C3" s="3" t="s">
        <v>13</v>
      </c>
      <c r="D3" s="4">
        <v>46298</v>
      </c>
      <c r="E3" s="3" t="s">
        <v>14</v>
      </c>
      <c r="F3" s="3" t="str">
        <f>IFERROR(VLOOKUP(C3,DanhMucSach!$A$2:$C$4,2,FALSE()),"Không tìm thấy sách")</f>
        <v>Giải Tích 1</v>
      </c>
    </row>
    <row r="4" spans="1:8" x14ac:dyDescent="0.3">
      <c r="A4" s="3" t="s">
        <v>15</v>
      </c>
      <c r="B4" s="3" t="s">
        <v>16</v>
      </c>
      <c r="C4" s="3" t="s">
        <v>17</v>
      </c>
      <c r="D4" s="4">
        <v>46305</v>
      </c>
      <c r="E4" s="3" t="s">
        <v>18</v>
      </c>
      <c r="F4" s="3" t="str">
        <f>IFERROR(VLOOKUP(C4,DanhMucSach!$A$2:$C$4,2,FALSE()),"Không tìm thấy sách")</f>
        <v>Kỹ Năng Mềm</v>
      </c>
      <c r="H4" s="2" t="s">
        <v>19</v>
      </c>
    </row>
    <row r="5" spans="1:8" x14ac:dyDescent="0.3">
      <c r="A5" s="3" t="s">
        <v>20</v>
      </c>
      <c r="B5" s="3" t="s">
        <v>21</v>
      </c>
      <c r="C5" s="3" t="s">
        <v>22</v>
      </c>
      <c r="D5" s="4">
        <v>46307</v>
      </c>
      <c r="E5" s="3" t="s">
        <v>10</v>
      </c>
      <c r="F5" s="3" t="str">
        <f>IFERROR(VLOOKUP(C5,DanhMucSach!$A$2:$C$4,2,FALSE()),"Không tìm thấy sách")</f>
        <v>Không tìm thấy sách</v>
      </c>
      <c r="H5" s="5">
        <f>COUNTIF(E2:E5,"Quá hạn")</f>
        <v>1</v>
      </c>
    </row>
    <row r="7" spans="1:8" x14ac:dyDescent="0.3">
      <c r="H7" s="2" t="s">
        <v>23</v>
      </c>
    </row>
    <row r="8" spans="1:8" x14ac:dyDescent="0.3">
      <c r="H8" s="6">
        <f>H5/H2</f>
        <v>0.25</v>
      </c>
    </row>
  </sheetData>
  <autoFilter ref="A1:F5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6" customWidth="1"/>
    <col min="3" max="3" width="24" customWidth="1"/>
  </cols>
  <sheetData>
    <row r="1" spans="1:3" x14ac:dyDescent="0.3">
      <c r="A1" s="1" t="s">
        <v>2</v>
      </c>
      <c r="B1" s="1" t="s">
        <v>5</v>
      </c>
      <c r="C1" s="1" t="s">
        <v>24</v>
      </c>
    </row>
    <row r="2" spans="1:3" x14ac:dyDescent="0.3">
      <c r="A2" s="3" t="s">
        <v>9</v>
      </c>
      <c r="B2" s="3" t="s">
        <v>25</v>
      </c>
      <c r="C2" s="3" t="s">
        <v>26</v>
      </c>
    </row>
    <row r="3" spans="1:3" x14ac:dyDescent="0.3">
      <c r="A3" s="3" t="s">
        <v>13</v>
      </c>
      <c r="B3" s="3" t="s">
        <v>27</v>
      </c>
      <c r="C3" s="3" t="s">
        <v>28</v>
      </c>
    </row>
    <row r="4" spans="1:3" x14ac:dyDescent="0.3">
      <c r="A4" s="3" t="s">
        <v>17</v>
      </c>
      <c r="B4" s="3" t="s">
        <v>29</v>
      </c>
      <c r="C4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2026-10-21T07:12:55Z</dcterms:created>
  <dcterms:modified xsi:type="dcterms:W3CDTF">2026-10-21T10:16:11Z</dcterms:modified>
  <dc:language>en-US</dc:language>
</cp:coreProperties>
</file>